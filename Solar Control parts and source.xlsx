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blo/Downloads/downloads/TTU3334_Group4-master/Charge Controller Stuff/"/>
    </mc:Choice>
  </mc:AlternateContent>
  <xr:revisionPtr revIDLastSave="0" documentId="13_ncr:1_{B6B6D2C8-A9FE-6C48-AFB6-8DD971D9BC32}" xr6:coauthVersionLast="43" xr6:coauthVersionMax="43" xr10:uidLastSave="{00000000-0000-0000-0000-000000000000}"/>
  <bookViews>
    <workbookView xWindow="480" yWindow="460" windowWidth="20000" windowHeight="147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7" i="1" l="1"/>
  <c r="F22" i="1"/>
  <c r="F23" i="1"/>
  <c r="F20" i="1"/>
  <c r="F15" i="1"/>
  <c r="F10" i="1" l="1"/>
  <c r="F25" i="1"/>
  <c r="F24" i="1"/>
  <c r="F21" i="1"/>
  <c r="F19" i="1"/>
  <c r="F18" i="1"/>
  <c r="F17" i="1"/>
  <c r="F14" i="1"/>
  <c r="F6" i="1" l="1"/>
  <c r="F5" i="1"/>
  <c r="F4" i="1"/>
  <c r="F9" i="1"/>
  <c r="F16" i="1"/>
  <c r="F8" i="1"/>
  <c r="F11" i="1"/>
  <c r="F27" i="1" l="1"/>
</calcChain>
</file>

<file path=xl/sharedStrings.xml><?xml version="1.0" encoding="utf-8"?>
<sst xmlns="http://schemas.openxmlformats.org/spreadsheetml/2006/main" count="86" uniqueCount="66">
  <si>
    <t>Q1</t>
  </si>
  <si>
    <t>IC1</t>
  </si>
  <si>
    <t>VR</t>
  </si>
  <si>
    <t>BOARD</t>
  </si>
  <si>
    <t>EXTENDED</t>
  </si>
  <si>
    <t>Led 1</t>
  </si>
  <si>
    <t>Bi-colored led</t>
  </si>
  <si>
    <t>160-1058-ND</t>
  </si>
  <si>
    <t>Microchip</t>
  </si>
  <si>
    <t>C1</t>
  </si>
  <si>
    <t>C2</t>
  </si>
  <si>
    <t xml:space="preserve">0.33 uf </t>
  </si>
  <si>
    <t>0.1 Uf</t>
  </si>
  <si>
    <t>Mouser</t>
  </si>
  <si>
    <t>Digikey</t>
  </si>
  <si>
    <t>810-FK28X5R1E334K</t>
  </si>
  <si>
    <t>81-RDEF51H104Z0K103B</t>
  </si>
  <si>
    <t>Express PCB</t>
  </si>
  <si>
    <t>Heat sink</t>
  </si>
  <si>
    <t>Jameco</t>
  </si>
  <si>
    <t>100K</t>
  </si>
  <si>
    <t>GHT144-R</t>
  </si>
  <si>
    <t>IRF5305PBF</t>
  </si>
  <si>
    <t>total</t>
  </si>
  <si>
    <t>Spacer</t>
  </si>
  <si>
    <t xml:space="preserve">Nylon 1/4" </t>
  </si>
  <si>
    <t>492-1104-ND</t>
  </si>
  <si>
    <t>Screw</t>
  </si>
  <si>
    <t>Wire</t>
  </si>
  <si>
    <t>Q2</t>
  </si>
  <si>
    <t>N mosfet 2N7000</t>
  </si>
  <si>
    <t>P power mosfet IFR 5305</t>
  </si>
  <si>
    <t>Black 18 gauge stranded 1 ft</t>
  </si>
  <si>
    <t>Red 18 gauge stranded 1 ft</t>
  </si>
  <si>
    <t>R1 - R3</t>
  </si>
  <si>
    <t>R2 - R4</t>
  </si>
  <si>
    <t>R5</t>
  </si>
  <si>
    <t>220 1/6 WATT</t>
  </si>
  <si>
    <t>220EBK-ND</t>
  </si>
  <si>
    <t>100KEBK-ND</t>
  </si>
  <si>
    <t>8200 1%</t>
  </si>
  <si>
    <t>909 1%</t>
  </si>
  <si>
    <t>6-32 5/8"</t>
  </si>
  <si>
    <t>H556-ND</t>
  </si>
  <si>
    <t>6-32 3/8" Nylon</t>
  </si>
  <si>
    <t>Nut</t>
  </si>
  <si>
    <t>6-32 Nylon</t>
  </si>
  <si>
    <t>H164-ND</t>
  </si>
  <si>
    <t>H620-ND</t>
  </si>
  <si>
    <t>Thermal pad</t>
  </si>
  <si>
    <t>Thermal Pad</t>
  </si>
  <si>
    <t>926-1483-ND</t>
  </si>
  <si>
    <t>Socket</t>
  </si>
  <si>
    <t>8 pin Ic socket</t>
  </si>
  <si>
    <t>AE9986-ND</t>
  </si>
  <si>
    <t>Solar Control</t>
  </si>
  <si>
    <t>Heavy Duty Heat Sink</t>
  </si>
  <si>
    <t>579-PIC12F675-I/P</t>
  </si>
  <si>
    <t>628-S-812C50AY-B2-U</t>
  </si>
  <si>
    <t>R6</t>
  </si>
  <si>
    <t>D1</t>
  </si>
  <si>
    <t>SB1245CT-ND</t>
  </si>
  <si>
    <t xml:space="preserve">DIODE SCHOTTKY 45V 12A </t>
  </si>
  <si>
    <t>5 volt REG</t>
  </si>
  <si>
    <t>271-8.2K-RC</t>
  </si>
  <si>
    <t>271-910-RC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</si>
</sst>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0.199999999999999"/>
      <color rgb="FF000000"/>
      <name val="Arial"/>
      <family val="2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2" fillId="0" borderId="0" xfId="2" applyAlignment="1" applyProtection="1"/>
    <xf numFmtId="44" fontId="0" fillId="0" borderId="0" xfId="1" applyFont="1"/>
    <xf numFmtId="0" fontId="3" fillId="0" borderId="0" xfId="0" applyFont="1"/>
    <xf numFmtId="0" fontId="2" fillId="0" borderId="0" xfId="2" applyFont="1" applyAlignment="1" applyProtection="1"/>
    <xf numFmtId="44" fontId="0" fillId="0" borderId="0" xfId="0" applyNumberFormat="1"/>
    <xf numFmtId="15" fontId="0" fillId="0" borderId="0" xfId="0" applyNumberFormat="1"/>
    <xf numFmtId="0" fontId="4" fillId="0" borderId="0" xfId="0" applyFont="1"/>
    <xf numFmtId="0" fontId="5" fillId="0" borderId="1" xfId="0" applyFont="1" applyBorder="1" applyAlignment="1">
      <alignment vertical="top" wrapText="1"/>
    </xf>
    <xf numFmtId="0" fontId="2" fillId="0" borderId="1" xfId="2" applyBorder="1" applyAlignment="1" applyProtection="1">
      <alignment vertical="top" wrapText="1"/>
    </xf>
    <xf numFmtId="0" fontId="6" fillId="0" borderId="0" xfId="0" applyFont="1"/>
    <xf numFmtId="0" fontId="7" fillId="0" borderId="0" xfId="2" applyFont="1" applyAlignment="1" applyProtection="1"/>
    <xf numFmtId="44" fontId="6" fillId="0" borderId="0" xfId="1" applyFont="1"/>
    <xf numFmtId="8" fontId="6" fillId="0" borderId="0" xfId="1" applyNumberFormat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0</xdr:rowOff>
    </xdr:from>
    <xdr:to>
      <xdr:col>2</xdr:col>
      <xdr:colOff>9525</xdr:colOff>
      <xdr:row>10</xdr:row>
      <xdr:rowOff>9525</xdr:rowOff>
    </xdr:to>
    <xdr:pic>
      <xdr:nvPicPr>
        <xdr:cNvPr id="1025" name="Picture 1" descr="http://www.googleadservices.com/pagead/conversion/1032613984/?label=WXhpCPKu_wMQ4OCx7AM&amp;guid=ON&amp;script=0&amp;ord=6206120283369726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71675" y="571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10</xdr:row>
      <xdr:rowOff>0</xdr:rowOff>
    </xdr:from>
    <xdr:to>
      <xdr:col>2</xdr:col>
      <xdr:colOff>28575</xdr:colOff>
      <xdr:row>10</xdr:row>
      <xdr:rowOff>9525</xdr:rowOff>
    </xdr:to>
    <xdr:pic>
      <xdr:nvPicPr>
        <xdr:cNvPr id="1026" name="Picture 2" descr="http://d.adroll.com/cm/g/out?google_nid=adroll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90725" y="571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10</xdr:row>
      <xdr:rowOff>0</xdr:rowOff>
    </xdr:from>
    <xdr:to>
      <xdr:col>2</xdr:col>
      <xdr:colOff>47625</xdr:colOff>
      <xdr:row>10</xdr:row>
      <xdr:rowOff>9525</xdr:rowOff>
    </xdr:to>
    <xdr:pic>
      <xdr:nvPicPr>
        <xdr:cNvPr id="1027" name="Picture 3" descr="http://ib.adnxs.com/seg?add=219986&amp;t=2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009775" y="5715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9525</xdr:colOff>
      <xdr:row>7</xdr:row>
      <xdr:rowOff>9525</xdr:rowOff>
    </xdr:to>
    <xdr:pic>
      <xdr:nvPicPr>
        <xdr:cNvPr id="1028" name="Picture 4" descr="http://www.googleadservices.com/pagead/conversion/1032613984/?label=WXhpCPKu_wMQ4OCx7AM&amp;guid=ON&amp;script=0&amp;ord=2412080529669885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71675" y="7620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7</xdr:row>
      <xdr:rowOff>0</xdr:rowOff>
    </xdr:from>
    <xdr:to>
      <xdr:col>2</xdr:col>
      <xdr:colOff>28575</xdr:colOff>
      <xdr:row>7</xdr:row>
      <xdr:rowOff>9525</xdr:rowOff>
    </xdr:to>
    <xdr:pic>
      <xdr:nvPicPr>
        <xdr:cNvPr id="1029" name="Picture 5" descr="http://d.adroll.com/cm/g/out?google_nid=adroll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90725" y="7620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7</xdr:row>
      <xdr:rowOff>0</xdr:rowOff>
    </xdr:from>
    <xdr:to>
      <xdr:col>2</xdr:col>
      <xdr:colOff>47625</xdr:colOff>
      <xdr:row>7</xdr:row>
      <xdr:rowOff>9525</xdr:rowOff>
    </xdr:to>
    <xdr:sp macro="" textlink="">
      <xdr:nvSpPr>
        <xdr:cNvPr id="1030" name="AutoShape 6" descr="http://ib.adnxs.com/seg?add=219986&amp;t=2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2009775" y="762000"/>
          <a:ext cx="9525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9525</xdr:colOff>
      <xdr:row>5</xdr:row>
      <xdr:rowOff>9525</xdr:rowOff>
    </xdr:to>
    <xdr:pic>
      <xdr:nvPicPr>
        <xdr:cNvPr id="1031" name="Picture 7" descr="http://www.googleadservices.com/pagead/conversion/1032613984/?label=WXhpCPKu_wMQ4OCx7AM&amp;guid=ON&amp;script=0&amp;ord=4950667340780663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71825" y="267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5</xdr:row>
      <xdr:rowOff>0</xdr:rowOff>
    </xdr:from>
    <xdr:to>
      <xdr:col>2</xdr:col>
      <xdr:colOff>28575</xdr:colOff>
      <xdr:row>5</xdr:row>
      <xdr:rowOff>9525</xdr:rowOff>
    </xdr:to>
    <xdr:pic>
      <xdr:nvPicPr>
        <xdr:cNvPr id="1032" name="Picture 8" descr="http://d.adroll.com/cm/g/out?google_nid=adroll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190875" y="267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5</xdr:row>
      <xdr:rowOff>0</xdr:rowOff>
    </xdr:from>
    <xdr:to>
      <xdr:col>2</xdr:col>
      <xdr:colOff>47625</xdr:colOff>
      <xdr:row>5</xdr:row>
      <xdr:rowOff>9525</xdr:rowOff>
    </xdr:to>
    <xdr:sp macro="" textlink="">
      <xdr:nvSpPr>
        <xdr:cNvPr id="1033" name="AutoShape 9" descr="http://ib.adnxs.com/seg?add=219986&amp;t=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3209925" y="2676525"/>
          <a:ext cx="9525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</xdr:colOff>
      <xdr:row>16</xdr:row>
      <xdr:rowOff>9525</xdr:rowOff>
    </xdr:to>
    <xdr:pic>
      <xdr:nvPicPr>
        <xdr:cNvPr id="2" name="Picture 1" descr="http://www.googleadservices.com/pagead/conversion/1032613984/?label=WXhpCPKu_wMQ4OCx7AM&amp;guid=ON&amp;script=0&amp;ord=79528381670780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267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16</xdr:row>
      <xdr:rowOff>0</xdr:rowOff>
    </xdr:from>
    <xdr:to>
      <xdr:col>2</xdr:col>
      <xdr:colOff>28575</xdr:colOff>
      <xdr:row>16</xdr:row>
      <xdr:rowOff>9525</xdr:rowOff>
    </xdr:to>
    <xdr:pic>
      <xdr:nvPicPr>
        <xdr:cNvPr id="3" name="Picture 2" descr="http://d.adroll.com/cm/g/out?google_nid=adrol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248025" y="267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16</xdr:row>
      <xdr:rowOff>0</xdr:rowOff>
    </xdr:from>
    <xdr:to>
      <xdr:col>2</xdr:col>
      <xdr:colOff>47625</xdr:colOff>
      <xdr:row>16</xdr:row>
      <xdr:rowOff>9525</xdr:rowOff>
    </xdr:to>
    <xdr:pic>
      <xdr:nvPicPr>
        <xdr:cNvPr id="4" name="Picture 3" descr="http://ib.adnxs.com/seg?add=219986&amp;t=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267075" y="2676525"/>
          <a:ext cx="9525" cy="95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jameco.com/webapp/wcs/stores/servlet/ProductDisplay?langId=-1&amp;storeId=10001&amp;productId=125736&amp;catalogId=10001&amp;CID=PDF133CAT" TargetMode="External"/><Relationship Id="rId13" Type="http://schemas.openxmlformats.org/officeDocument/2006/relationships/hyperlink" Target="http://www.digikey.com/product-detail/en/NY%20HN%20632/H620-ND/61372" TargetMode="External"/><Relationship Id="rId18" Type="http://schemas.openxmlformats.org/officeDocument/2006/relationships/hyperlink" Target="http://www.mouser.com/ProductDetail/Fairchild-Semiconductor/SB1245/?qs=%2fha2pyFaduiGDGNloE0mxryd%252bZbBHSRxhKgolJgkbG8%3d" TargetMode="External"/><Relationship Id="rId3" Type="http://schemas.openxmlformats.org/officeDocument/2006/relationships/hyperlink" Target="http://www.mouser.com/Search/ProductDetail.aspx?R=RDEF51H104Z0K1C03Bvirtualkey64800000virtualkey81-RDEF51H104Z0K103B" TargetMode="External"/><Relationship Id="rId7" Type="http://schemas.openxmlformats.org/officeDocument/2006/relationships/hyperlink" Target="http://www.jameco.com/webapp/wcs/stores/servlet/ProductDisplay?langId=-1&amp;storeId=10001&amp;productId=125787&amp;catalogId=10001&amp;CID=PDF133CAT" TargetMode="External"/><Relationship Id="rId12" Type="http://schemas.openxmlformats.org/officeDocument/2006/relationships/hyperlink" Target="http://www.digikey.com/product-detail/en/PMS%20632%200063%20SL/H164-ND/5725" TargetMode="External"/><Relationship Id="rId17" Type="http://schemas.openxmlformats.org/officeDocument/2006/relationships/hyperlink" Target="http://www.mouser.com/Search/ProductDetail.aspx?R=PIC12F675-I%2fPvirtualkey57940000virtualkey579-PIC12F675-I%2fP" TargetMode="External"/><Relationship Id="rId2" Type="http://schemas.openxmlformats.org/officeDocument/2006/relationships/hyperlink" Target="http://www.mouser.com/ProductDetail/TDK/FK28X5R1E334K/?qs=sGAEpiMZZMt3KoXD5rJ2N48tYEMqcp4xTnBw3PsQzT0%3d" TargetMode="External"/><Relationship Id="rId16" Type="http://schemas.openxmlformats.org/officeDocument/2006/relationships/hyperlink" Target="http://www.mouser.com/ProductDetail/Seiko-Instruments/S-812C50AY-B2-U/?qs=%2fha2pyFadujDNBDUnwjn%2fcv%2fZA0r07Pg2X4ia6uhAxahFeD2Qpzlrgc36yTKr753" TargetMode="External"/><Relationship Id="rId20" Type="http://schemas.openxmlformats.org/officeDocument/2006/relationships/drawing" Target="../drawings/drawing1.xml"/><Relationship Id="rId1" Type="http://schemas.openxmlformats.org/officeDocument/2006/relationships/hyperlink" Target="http://search.digikey.com/scripts/DkSearch/dksus.dll?vendor=0&amp;keywords=160-1058-ND" TargetMode="External"/><Relationship Id="rId6" Type="http://schemas.openxmlformats.org/officeDocument/2006/relationships/hyperlink" Target="https://www.jameco.com/webapp/wcs/stores/servlet/Product_10001_10001_119423_-1" TargetMode="External"/><Relationship Id="rId11" Type="http://schemas.openxmlformats.org/officeDocument/2006/relationships/hyperlink" Target="http://www.digikey.com/product-detail/en/NY%20PMS%20632%200038%20PH/H556-ND/46317" TargetMode="External"/><Relationship Id="rId5" Type="http://schemas.openxmlformats.org/officeDocument/2006/relationships/hyperlink" Target="http://www.digikey.com/product-search/en?pv183=7175&amp;pv1678=2&amp;pv297=301&amp;pv741=203&amp;pv70=6&amp;FV=fff40020%2Cfff803ee&amp;k=nylon+spacers&amp;mnonly=0&amp;newproducts=0&amp;ColumnSort=0&amp;page=1&amp;quantity=0&amp;ptm=0&amp;fid=0&amp;pageSize=25" TargetMode="External"/><Relationship Id="rId15" Type="http://schemas.openxmlformats.org/officeDocument/2006/relationships/hyperlink" Target="http://www.digikey.com/product-detail/en/A08-LC-TT-R/AE9986-ND/821740" TargetMode="External"/><Relationship Id="rId10" Type="http://schemas.openxmlformats.org/officeDocument/2006/relationships/hyperlink" Target="http://www.digikey.com/product-detail/en/CFR-12JB-52-100K/100KEBK-ND/3950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://www.jameco.com/webapp/wcs/stores/servlet/Product_10001_10001_16513_-1" TargetMode="External"/><Relationship Id="rId9" Type="http://schemas.openxmlformats.org/officeDocument/2006/relationships/hyperlink" Target="http://www.digikey.com/product-detail/en/CFR-12JB-52-220R/220EBK-ND/4013" TargetMode="External"/><Relationship Id="rId14" Type="http://schemas.openxmlformats.org/officeDocument/2006/relationships/hyperlink" Target="http://www.digikey.com/product-detail/en/A16886-003/926-1483-ND/42596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B14" sqref="B14"/>
    </sheetView>
  </sheetViews>
  <sheetFormatPr baseColWidth="10" defaultColWidth="8.83203125" defaultRowHeight="15" x14ac:dyDescent="0.2"/>
  <cols>
    <col min="1" max="1" width="12" bestFit="1" customWidth="1"/>
    <col min="2" max="2" width="38.5" bestFit="1" customWidth="1"/>
    <col min="3" max="3" width="22.1640625" bestFit="1" customWidth="1"/>
  </cols>
  <sheetData>
    <row r="1" spans="1:13" ht="16" thickBot="1" x14ac:dyDescent="0.25">
      <c r="A1" t="s">
        <v>55</v>
      </c>
      <c r="L1" s="8"/>
      <c r="M1" s="9"/>
    </row>
    <row r="2" spans="1:13" x14ac:dyDescent="0.2">
      <c r="A2" s="6"/>
    </row>
    <row r="3" spans="1:13" x14ac:dyDescent="0.2">
      <c r="F3" t="s">
        <v>4</v>
      </c>
    </row>
    <row r="4" spans="1:13" x14ac:dyDescent="0.2">
      <c r="A4" t="s">
        <v>3</v>
      </c>
      <c r="E4" s="2"/>
      <c r="F4" s="2">
        <f t="shared" ref="F4:F25" si="0">E4*D4</f>
        <v>0</v>
      </c>
      <c r="G4" t="s">
        <v>17</v>
      </c>
    </row>
    <row r="5" spans="1:13" x14ac:dyDescent="0.2">
      <c r="A5" t="s">
        <v>9</v>
      </c>
      <c r="B5" t="s">
        <v>11</v>
      </c>
      <c r="C5" s="1" t="s">
        <v>15</v>
      </c>
      <c r="D5">
        <v>1</v>
      </c>
      <c r="E5" s="2">
        <v>0.28000000000000003</v>
      </c>
      <c r="F5" s="2">
        <f t="shared" si="0"/>
        <v>0.28000000000000003</v>
      </c>
      <c r="G5" t="s">
        <v>13</v>
      </c>
    </row>
    <row r="6" spans="1:13" x14ac:dyDescent="0.2">
      <c r="A6" t="s">
        <v>10</v>
      </c>
      <c r="B6" t="s">
        <v>12</v>
      </c>
      <c r="C6" s="1" t="s">
        <v>16</v>
      </c>
      <c r="D6">
        <v>1</v>
      </c>
      <c r="E6" s="2">
        <v>0.24</v>
      </c>
      <c r="F6" s="2">
        <f t="shared" si="0"/>
        <v>0.24</v>
      </c>
      <c r="G6" t="s">
        <v>13</v>
      </c>
      <c r="M6" s="1"/>
    </row>
    <row r="7" spans="1:13" ht="15.75" customHeight="1" x14ac:dyDescent="0.2">
      <c r="A7" s="10" t="s">
        <v>60</v>
      </c>
      <c r="B7" s="10" t="s">
        <v>62</v>
      </c>
      <c r="C7" s="11" t="s">
        <v>61</v>
      </c>
      <c r="D7" s="10">
        <v>1</v>
      </c>
      <c r="E7" s="12">
        <v>1.66</v>
      </c>
      <c r="F7" s="12">
        <f t="shared" si="0"/>
        <v>1.66</v>
      </c>
      <c r="G7" s="10" t="s">
        <v>13</v>
      </c>
      <c r="M7" s="1"/>
    </row>
    <row r="8" spans="1:13" x14ac:dyDescent="0.2">
      <c r="A8" t="s">
        <v>1</v>
      </c>
      <c r="B8" t="s">
        <v>8</v>
      </c>
      <c r="C8" s="1" t="s">
        <v>57</v>
      </c>
      <c r="D8">
        <v>1</v>
      </c>
      <c r="E8" s="2">
        <v>1.21</v>
      </c>
      <c r="F8" s="2">
        <f t="shared" si="0"/>
        <v>1.21</v>
      </c>
      <c r="G8" t="s">
        <v>13</v>
      </c>
    </row>
    <row r="9" spans="1:13" x14ac:dyDescent="0.2">
      <c r="A9" s="3" t="s">
        <v>5</v>
      </c>
      <c r="B9" t="s">
        <v>6</v>
      </c>
      <c r="C9" s="4" t="s">
        <v>7</v>
      </c>
      <c r="D9">
        <v>1</v>
      </c>
      <c r="E9" s="2">
        <v>0.59</v>
      </c>
      <c r="F9" s="2">
        <f t="shared" si="0"/>
        <v>0.59</v>
      </c>
      <c r="G9" t="s">
        <v>14</v>
      </c>
    </row>
    <row r="10" spans="1:13" x14ac:dyDescent="0.2">
      <c r="A10" t="s">
        <v>0</v>
      </c>
      <c r="B10" t="s">
        <v>30</v>
      </c>
      <c r="C10" s="1">
        <v>119423</v>
      </c>
      <c r="D10">
        <v>1</v>
      </c>
      <c r="E10" s="2">
        <v>7.0000000000000007E-2</v>
      </c>
      <c r="F10" s="2">
        <f t="shared" si="0"/>
        <v>7.0000000000000007E-2</v>
      </c>
      <c r="G10" t="s">
        <v>19</v>
      </c>
    </row>
    <row r="11" spans="1:13" x14ac:dyDescent="0.2">
      <c r="A11" t="s">
        <v>29</v>
      </c>
      <c r="B11" t="s">
        <v>31</v>
      </c>
      <c r="C11" s="1" t="s">
        <v>22</v>
      </c>
      <c r="D11">
        <v>1</v>
      </c>
      <c r="E11" s="2">
        <v>1.25</v>
      </c>
      <c r="F11" s="2">
        <f>E11*D11</f>
        <v>1.25</v>
      </c>
      <c r="G11" t="s">
        <v>19</v>
      </c>
    </row>
    <row r="12" spans="1:13" x14ac:dyDescent="0.2">
      <c r="A12" s="10" t="s">
        <v>34</v>
      </c>
      <c r="B12" s="10" t="s">
        <v>40</v>
      </c>
      <c r="C12" s="11" t="s">
        <v>64</v>
      </c>
      <c r="D12" s="10">
        <v>2</v>
      </c>
      <c r="E12" s="13">
        <v>0.13</v>
      </c>
      <c r="F12" s="13">
        <v>0.26</v>
      </c>
      <c r="G12" s="10" t="s">
        <v>13</v>
      </c>
    </row>
    <row r="13" spans="1:13" x14ac:dyDescent="0.2">
      <c r="A13" s="10" t="s">
        <v>35</v>
      </c>
      <c r="B13" s="10" t="s">
        <v>41</v>
      </c>
      <c r="C13" s="11" t="s">
        <v>65</v>
      </c>
      <c r="D13" s="10">
        <v>2</v>
      </c>
      <c r="E13" s="13">
        <v>0.13</v>
      </c>
      <c r="F13" s="13">
        <v>0.26</v>
      </c>
      <c r="G13" s="10" t="s">
        <v>13</v>
      </c>
    </row>
    <row r="14" spans="1:13" x14ac:dyDescent="0.2">
      <c r="A14" t="s">
        <v>36</v>
      </c>
      <c r="B14" t="s">
        <v>20</v>
      </c>
      <c r="C14" s="1" t="s">
        <v>39</v>
      </c>
      <c r="D14">
        <v>1</v>
      </c>
      <c r="E14" s="2">
        <v>0.1</v>
      </c>
      <c r="F14" s="2">
        <f t="shared" si="0"/>
        <v>0.1</v>
      </c>
      <c r="G14" t="s">
        <v>14</v>
      </c>
    </row>
    <row r="15" spans="1:13" x14ac:dyDescent="0.2">
      <c r="A15" t="s">
        <v>59</v>
      </c>
      <c r="B15" t="s">
        <v>37</v>
      </c>
      <c r="C15" s="1" t="s">
        <v>38</v>
      </c>
      <c r="D15">
        <v>1</v>
      </c>
      <c r="E15" s="2">
        <v>0.1</v>
      </c>
      <c r="F15" s="2">
        <f t="shared" si="0"/>
        <v>0.1</v>
      </c>
      <c r="G15" t="s">
        <v>14</v>
      </c>
    </row>
    <row r="16" spans="1:13" x14ac:dyDescent="0.2">
      <c r="A16" t="s">
        <v>2</v>
      </c>
      <c r="B16" t="s">
        <v>63</v>
      </c>
      <c r="C16" s="1" t="s">
        <v>58</v>
      </c>
      <c r="D16">
        <v>1</v>
      </c>
      <c r="E16" s="2">
        <v>0.8</v>
      </c>
      <c r="F16" s="2">
        <f t="shared" si="0"/>
        <v>0.8</v>
      </c>
      <c r="G16" t="s">
        <v>13</v>
      </c>
    </row>
    <row r="17" spans="1:7" x14ac:dyDescent="0.2">
      <c r="A17" t="s">
        <v>18</v>
      </c>
      <c r="B17" t="s">
        <v>56</v>
      </c>
      <c r="C17" s="1" t="s">
        <v>21</v>
      </c>
      <c r="D17">
        <v>1</v>
      </c>
      <c r="E17" s="2">
        <v>3.75</v>
      </c>
      <c r="F17" s="2">
        <f t="shared" si="0"/>
        <v>3.75</v>
      </c>
      <c r="G17" t="s">
        <v>19</v>
      </c>
    </row>
    <row r="18" spans="1:7" x14ac:dyDescent="0.2">
      <c r="A18" t="s">
        <v>24</v>
      </c>
      <c r="B18" t="s">
        <v>25</v>
      </c>
      <c r="C18" s="1" t="s">
        <v>26</v>
      </c>
      <c r="D18">
        <v>2</v>
      </c>
      <c r="E18" s="2">
        <v>0.08</v>
      </c>
      <c r="F18" s="5">
        <f t="shared" si="0"/>
        <v>0.16</v>
      </c>
      <c r="G18" t="s">
        <v>14</v>
      </c>
    </row>
    <row r="19" spans="1:7" x14ac:dyDescent="0.2">
      <c r="A19" t="s">
        <v>27</v>
      </c>
      <c r="B19" t="s">
        <v>44</v>
      </c>
      <c r="C19" s="1" t="s">
        <v>43</v>
      </c>
      <c r="D19">
        <v>1</v>
      </c>
      <c r="E19" s="2">
        <v>9.1999999999999998E-2</v>
      </c>
      <c r="F19" s="5">
        <f t="shared" si="0"/>
        <v>9.1999999999999998E-2</v>
      </c>
      <c r="G19" t="s">
        <v>14</v>
      </c>
    </row>
    <row r="20" spans="1:7" x14ac:dyDescent="0.2">
      <c r="A20" t="s">
        <v>45</v>
      </c>
      <c r="B20" t="s">
        <v>46</v>
      </c>
      <c r="C20" s="1" t="s">
        <v>48</v>
      </c>
      <c r="D20">
        <v>1</v>
      </c>
      <c r="E20" s="2">
        <v>0.108</v>
      </c>
      <c r="F20" s="5">
        <f t="shared" si="0"/>
        <v>0.108</v>
      </c>
      <c r="G20" t="s">
        <v>14</v>
      </c>
    </row>
    <row r="21" spans="1:7" x14ac:dyDescent="0.2">
      <c r="A21" t="s">
        <v>27</v>
      </c>
      <c r="B21" t="s">
        <v>42</v>
      </c>
      <c r="C21" s="1" t="s">
        <v>47</v>
      </c>
      <c r="D21">
        <v>2</v>
      </c>
      <c r="E21" s="2">
        <v>2.58E-2</v>
      </c>
      <c r="F21" s="5">
        <f t="shared" si="0"/>
        <v>5.16E-2</v>
      </c>
      <c r="G21" t="s">
        <v>14</v>
      </c>
    </row>
    <row r="22" spans="1:7" x14ac:dyDescent="0.2">
      <c r="A22" t="s">
        <v>52</v>
      </c>
      <c r="B22" t="s">
        <v>53</v>
      </c>
      <c r="C22" s="1" t="s">
        <v>54</v>
      </c>
      <c r="D22">
        <v>1</v>
      </c>
      <c r="E22" s="2">
        <v>0.18</v>
      </c>
      <c r="F22" s="5">
        <f t="shared" si="0"/>
        <v>0.18</v>
      </c>
      <c r="G22" t="s">
        <v>14</v>
      </c>
    </row>
    <row r="23" spans="1:7" x14ac:dyDescent="0.2">
      <c r="A23" t="s">
        <v>49</v>
      </c>
      <c r="B23" t="s">
        <v>50</v>
      </c>
      <c r="C23" s="1" t="s">
        <v>51</v>
      </c>
      <c r="D23">
        <v>1</v>
      </c>
      <c r="E23" s="2">
        <v>0.11</v>
      </c>
      <c r="F23" s="5">
        <f t="shared" si="0"/>
        <v>0.11</v>
      </c>
      <c r="G23" t="s">
        <v>14</v>
      </c>
    </row>
    <row r="24" spans="1:7" x14ac:dyDescent="0.2">
      <c r="A24" t="s">
        <v>28</v>
      </c>
      <c r="B24" t="s">
        <v>32</v>
      </c>
      <c r="C24" s="1">
        <v>125787</v>
      </c>
      <c r="D24">
        <v>2</v>
      </c>
      <c r="E24" s="2">
        <v>0.16</v>
      </c>
      <c r="F24" s="5">
        <f t="shared" si="0"/>
        <v>0.32</v>
      </c>
      <c r="G24" t="s">
        <v>19</v>
      </c>
    </row>
    <row r="25" spans="1:7" x14ac:dyDescent="0.2">
      <c r="A25" t="s">
        <v>28</v>
      </c>
      <c r="B25" t="s">
        <v>33</v>
      </c>
      <c r="C25" s="1">
        <v>125736</v>
      </c>
      <c r="D25">
        <v>2</v>
      </c>
      <c r="E25" s="2">
        <v>0.16</v>
      </c>
      <c r="F25" s="5">
        <f t="shared" si="0"/>
        <v>0.32</v>
      </c>
      <c r="G25" t="s">
        <v>19</v>
      </c>
    </row>
    <row r="26" spans="1:7" x14ac:dyDescent="0.2">
      <c r="B26" s="7"/>
    </row>
    <row r="27" spans="1:7" x14ac:dyDescent="0.2">
      <c r="E27" t="s">
        <v>23</v>
      </c>
      <c r="F27" s="5">
        <f>SUM(F4:F25)</f>
        <v>11.9116</v>
      </c>
    </row>
  </sheetData>
  <sortState ref="A4:G14">
    <sortCondition ref="A4"/>
  </sortState>
  <hyperlinks>
    <hyperlink ref="C9" r:id="rId1" xr:uid="{00000000-0004-0000-0000-000000000000}"/>
    <hyperlink ref="C5" r:id="rId2" tooltip="Click to view additional information on this product." display="http://www.mouser.com/ProductDetail/TDK/FK28X5R1E334K/?qs=sGAEpiMZZMt3KoXD5rJ2N48tYEMqcp4xTnBw3PsQzT0%3d" xr:uid="{00000000-0004-0000-0000-000001000000}"/>
    <hyperlink ref="C6" r:id="rId3" display="http://www.mouser.com/Search/ProductDetail.aspx?R=RDEF51H104Z0K1C03Bvirtualkey64800000virtualkey81-RDEF51H104Z0K103B" xr:uid="{00000000-0004-0000-0000-000002000000}"/>
    <hyperlink ref="C17" r:id="rId4" display="http://www.jameco.com/webapp/wcs/stores/servlet/Product_10001_10001_16513_-1" xr:uid="{00000000-0004-0000-0000-000003000000}"/>
    <hyperlink ref="C18" r:id="rId5" xr:uid="{00000000-0004-0000-0000-000004000000}"/>
    <hyperlink ref="C10" r:id="rId6" display="https://www.jameco.com/webapp/wcs/stores/servlet/Product_10001_10001_119423_-1" xr:uid="{00000000-0004-0000-0000-000005000000}"/>
    <hyperlink ref="C24" r:id="rId7" display="http://www.jameco.com/webapp/wcs/stores/servlet/ProductDisplay?langId=-1&amp;storeId=10001&amp;productId=125787&amp;catalogId=10001&amp;CID=PDF133CAT" xr:uid="{00000000-0004-0000-0000-000006000000}"/>
    <hyperlink ref="C25" r:id="rId8" display="http://www.jameco.com/webapp/wcs/stores/servlet/ProductDisplay?langId=-1&amp;storeId=10001&amp;productId=125736&amp;catalogId=10001&amp;CID=PDF133CAT" xr:uid="{00000000-0004-0000-0000-000007000000}"/>
    <hyperlink ref="C15" r:id="rId9" display="http://www.digikey.com/product-detail/en/CFR-12JB-52-220R/220EBK-ND/4013" xr:uid="{00000000-0004-0000-0000-000008000000}"/>
    <hyperlink ref="C14" r:id="rId10" display="http://www.digikey.com/product-detail/en/CFR-12JB-52-100K/100KEBK-ND/3950" xr:uid="{00000000-0004-0000-0000-000009000000}"/>
    <hyperlink ref="C19" r:id="rId11" display="http://www.digikey.com/product-detail/en/NY PMS 632 0038 PH/H556-ND/46317" xr:uid="{00000000-0004-0000-0000-00000A000000}"/>
    <hyperlink ref="C21" r:id="rId12" xr:uid="{00000000-0004-0000-0000-00000B000000}"/>
    <hyperlink ref="C20" r:id="rId13" display="http://www.digikey.com/product-detail/en/NY HN 632/H620-ND/61372" xr:uid="{00000000-0004-0000-0000-00000C000000}"/>
    <hyperlink ref="C23" r:id="rId14" display="http://www.digikey.com/product-detail/en/A16886-003/926-1483-ND/4259632" xr:uid="{00000000-0004-0000-0000-00000D000000}"/>
    <hyperlink ref="C22" r:id="rId15" display="http://www.digikey.com/product-detail/en/A08-LC-TT-R/AE9986-ND/821740" xr:uid="{00000000-0004-0000-0000-00000E000000}"/>
    <hyperlink ref="C16" r:id="rId16" xr:uid="{00000000-0004-0000-0000-00000F000000}"/>
    <hyperlink ref="C8" r:id="rId17" xr:uid="{00000000-0004-0000-0000-000010000000}"/>
    <hyperlink ref="C7" r:id="rId18" xr:uid="{00000000-0004-0000-0000-000011000000}"/>
  </hyperlinks>
  <pageMargins left="0.7" right="0.7" top="0.75" bottom="0.75" header="0.3" footer="0.3"/>
  <pageSetup orientation="portrait" verticalDpi="0" r:id="rId19"/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</dc:creator>
  <cp:lastModifiedBy>Microsoft Office User</cp:lastModifiedBy>
  <dcterms:created xsi:type="dcterms:W3CDTF">2013-11-13T20:37:37Z</dcterms:created>
  <dcterms:modified xsi:type="dcterms:W3CDTF">2019-04-07T23:23:19Z</dcterms:modified>
</cp:coreProperties>
</file>